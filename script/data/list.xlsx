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hel\Desktop\编程总库\MeidiAuto\script\data\"/>
    </mc:Choice>
  </mc:AlternateContent>
  <xr:revisionPtr revIDLastSave="0" documentId="13_ncr:1_{10171578-E61F-4578-9C3A-6F45802DE987}" xr6:coauthVersionLast="47" xr6:coauthVersionMax="47" xr10:uidLastSave="{00000000-0000-0000-0000-000000000000}"/>
  <bookViews>
    <workbookView xWindow="9540" yWindow="2850" windowWidth="23835" windowHeight="15105" xr2:uid="{B3F25FD5-23CB-4961-973D-5F7EFE73029E}"/>
  </bookViews>
  <sheets>
    <sheet name="2503" sheetId="2" r:id="rId1"/>
  </sheets>
  <definedNames>
    <definedName name="_xlnm._FilterDatabase" localSheetId="0" hidden="1">'2503'!$A$1:$E$1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2" l="1"/>
  <c r="G24" i="2"/>
  <c r="G28" i="2"/>
</calcChain>
</file>

<file path=xl/sharedStrings.xml><?xml version="1.0" encoding="utf-8"?>
<sst xmlns="http://schemas.openxmlformats.org/spreadsheetml/2006/main" count="76" uniqueCount="69">
  <si>
    <t>编号</t>
  </si>
  <si>
    <t>外应存</t>
  </si>
  <si>
    <t>家应存</t>
  </si>
  <si>
    <t>月计划</t>
  </si>
  <si>
    <t/>
  </si>
  <si>
    <t>/</t>
    <phoneticPr fontId="2" type="noConversion"/>
  </si>
  <si>
    <t>合肥发量少</t>
    <phoneticPr fontId="2" type="noConversion"/>
  </si>
  <si>
    <t>黑色合肥发</t>
    <phoneticPr fontId="2" type="noConversion"/>
  </si>
  <si>
    <t>新品待定</t>
    <phoneticPr fontId="2" type="noConversion"/>
  </si>
  <si>
    <t>00009</t>
    <phoneticPr fontId="2" type="noConversion"/>
  </si>
  <si>
    <t>00142</t>
    <phoneticPr fontId="2" type="noConversion"/>
  </si>
  <si>
    <t>00153</t>
    <phoneticPr fontId="2" type="noConversion"/>
  </si>
  <si>
    <t>00179</t>
    <phoneticPr fontId="2" type="noConversion"/>
  </si>
  <si>
    <t>00208</t>
    <phoneticPr fontId="2" type="noConversion"/>
  </si>
  <si>
    <t>00269</t>
    <phoneticPr fontId="2" type="noConversion"/>
  </si>
  <si>
    <t>00273</t>
    <phoneticPr fontId="2" type="noConversion"/>
  </si>
  <si>
    <t>00282</t>
    <phoneticPr fontId="2" type="noConversion"/>
  </si>
  <si>
    <t>00316</t>
    <phoneticPr fontId="2" type="noConversion"/>
  </si>
  <si>
    <t>10395</t>
    <phoneticPr fontId="2" type="noConversion"/>
  </si>
  <si>
    <t>00425</t>
    <phoneticPr fontId="2" type="noConversion"/>
  </si>
  <si>
    <t>00463</t>
    <phoneticPr fontId="2" type="noConversion"/>
  </si>
  <si>
    <t>00465</t>
    <phoneticPr fontId="2" type="noConversion"/>
  </si>
  <si>
    <t>00470</t>
    <phoneticPr fontId="2" type="noConversion"/>
  </si>
  <si>
    <t>00481</t>
    <phoneticPr fontId="2" type="noConversion"/>
  </si>
  <si>
    <t>00507</t>
    <phoneticPr fontId="2" type="noConversion"/>
  </si>
  <si>
    <t>00514</t>
    <phoneticPr fontId="2" type="noConversion"/>
  </si>
  <si>
    <t>00515</t>
    <phoneticPr fontId="2" type="noConversion"/>
  </si>
  <si>
    <t>10539</t>
    <phoneticPr fontId="2" type="noConversion"/>
  </si>
  <si>
    <t>00540</t>
    <phoneticPr fontId="2" type="noConversion"/>
  </si>
  <si>
    <t>00862</t>
    <phoneticPr fontId="2" type="noConversion"/>
  </si>
  <si>
    <t>00926</t>
    <phoneticPr fontId="2" type="noConversion"/>
  </si>
  <si>
    <t>10955</t>
    <phoneticPr fontId="2" type="noConversion"/>
  </si>
  <si>
    <t>11175</t>
    <phoneticPr fontId="2" type="noConversion"/>
  </si>
  <si>
    <t>11755</t>
    <phoneticPr fontId="2" type="noConversion"/>
  </si>
  <si>
    <t>11796</t>
    <phoneticPr fontId="2" type="noConversion"/>
  </si>
  <si>
    <t>11797</t>
    <phoneticPr fontId="2" type="noConversion"/>
  </si>
  <si>
    <t>11816</t>
    <phoneticPr fontId="2" type="noConversion"/>
  </si>
  <si>
    <t>02832</t>
    <phoneticPr fontId="2" type="noConversion"/>
  </si>
  <si>
    <t>12995</t>
    <phoneticPr fontId="2" type="noConversion"/>
  </si>
  <si>
    <t>13275</t>
    <phoneticPr fontId="2" type="noConversion"/>
  </si>
  <si>
    <t>13375</t>
    <phoneticPr fontId="2" type="noConversion"/>
  </si>
  <si>
    <t>04248</t>
    <phoneticPr fontId="2" type="noConversion"/>
  </si>
  <si>
    <t>04328</t>
    <phoneticPr fontId="2" type="noConversion"/>
  </si>
  <si>
    <t>04588</t>
    <phoneticPr fontId="2" type="noConversion"/>
  </si>
  <si>
    <t>04708</t>
    <phoneticPr fontId="2" type="noConversion"/>
  </si>
  <si>
    <t>04789</t>
    <phoneticPr fontId="2" type="noConversion"/>
  </si>
  <si>
    <t>04791</t>
    <phoneticPr fontId="2" type="noConversion"/>
  </si>
  <si>
    <t>04928</t>
    <phoneticPr fontId="2" type="noConversion"/>
  </si>
  <si>
    <t>05468</t>
    <phoneticPr fontId="2" type="noConversion"/>
  </si>
  <si>
    <t>05696</t>
    <phoneticPr fontId="2" type="noConversion"/>
  </si>
  <si>
    <t>05855</t>
    <phoneticPr fontId="2" type="noConversion"/>
  </si>
  <si>
    <t>05891</t>
    <phoneticPr fontId="2" type="noConversion"/>
  </si>
  <si>
    <t>05892</t>
    <phoneticPr fontId="2" type="noConversion"/>
  </si>
  <si>
    <t>05894</t>
    <phoneticPr fontId="2" type="noConversion"/>
  </si>
  <si>
    <t>07002</t>
    <phoneticPr fontId="2" type="noConversion"/>
  </si>
  <si>
    <t>07671</t>
    <phoneticPr fontId="2" type="noConversion"/>
  </si>
  <si>
    <t>07672</t>
    <phoneticPr fontId="2" type="noConversion"/>
  </si>
  <si>
    <t>备注</t>
    <phoneticPr fontId="2" type="noConversion"/>
  </si>
  <si>
    <t>11155</t>
    <phoneticPr fontId="2" type="noConversion"/>
  </si>
  <si>
    <t>独家？</t>
    <phoneticPr fontId="2" type="noConversion"/>
  </si>
  <si>
    <t>独家4？</t>
    <phoneticPr fontId="2" type="noConversion"/>
  </si>
  <si>
    <t>独家6？</t>
    <phoneticPr fontId="2" type="noConversion"/>
  </si>
  <si>
    <t>合肥不供</t>
    <phoneticPr fontId="2" type="noConversion"/>
  </si>
  <si>
    <t>比例</t>
    <phoneticPr fontId="2" type="noConversion"/>
  </si>
  <si>
    <t>合肥不供，-12.24%</t>
    <phoneticPr fontId="2" type="noConversion"/>
  </si>
  <si>
    <t>合肥不供30%，-7.38%</t>
    <phoneticPr fontId="2" type="noConversion"/>
  </si>
  <si>
    <t>合肥不供，1.57%</t>
    <phoneticPr fontId="2" type="noConversion"/>
  </si>
  <si>
    <t>合肥不供，0.16%</t>
    <phoneticPr fontId="2" type="noConversion"/>
  </si>
  <si>
    <t>合肥不供，3.05%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</si>
</sst>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_ * #,##0_ ;_ * \-#,##0_ ;_ * &quot;-&quot;??_ ;_ @_ "/>
  </numFmts>
  <fonts count="6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187F7"/>
        <bgColor rgb="FFC187F7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49" fontId="3" fillId="2" borderId="2" xfId="1" applyNumberFormat="1" applyFont="1" applyFill="1" applyBorder="1" applyAlignment="1">
      <alignment horizontal="center" vertical="center"/>
    </xf>
    <xf numFmtId="3" fontId="3" fillId="2" borderId="1" xfId="1" applyNumberFormat="1" applyFont="1" applyFill="1" applyBorder="1" applyAlignment="1">
      <alignment horizontal="center" vertical="center"/>
    </xf>
    <xf numFmtId="3" fontId="3" fillId="2" borderId="2" xfId="1" applyNumberFormat="1" applyFont="1" applyFill="1" applyBorder="1" applyAlignment="1">
      <alignment horizontal="center" vertical="center"/>
    </xf>
    <xf numFmtId="0" fontId="1" fillId="0" borderId="0" xfId="1" applyAlignment="1">
      <alignment horizontal="center" vertical="center"/>
    </xf>
    <xf numFmtId="49" fontId="4" fillId="0" borderId="1" xfId="1" quotePrefix="1" applyNumberFormat="1" applyFont="1" applyBorder="1" applyAlignment="1">
      <alignment horizontal="center" vertical="center"/>
    </xf>
    <xf numFmtId="176" fontId="4" fillId="0" borderId="1" xfId="2" applyNumberFormat="1" applyFont="1" applyBorder="1" applyAlignment="1">
      <alignment horizontal="right" vertical="center"/>
    </xf>
    <xf numFmtId="0" fontId="1" fillId="0" borderId="1" xfId="1" applyBorder="1" applyAlignment="1">
      <alignment horizontal="center" vertical="center"/>
    </xf>
    <xf numFmtId="0" fontId="1" fillId="0" borderId="0" xfId="1">
      <alignment vertical="center"/>
    </xf>
    <xf numFmtId="176" fontId="5" fillId="0" borderId="1" xfId="1" applyNumberFormat="1" applyFont="1" applyBorder="1" applyAlignment="1">
      <alignment horizontal="right" vertical="center"/>
    </xf>
    <xf numFmtId="49" fontId="4" fillId="0" borderId="1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right" vertical="center"/>
    </xf>
    <xf numFmtId="9" fontId="1" fillId="0" borderId="1" xfId="1" applyNumberFormat="1" applyBorder="1" applyAlignment="1">
      <alignment horizontal="center" vertical="center"/>
    </xf>
    <xf numFmtId="49" fontId="1" fillId="0" borderId="0" xfId="1" applyNumberFormat="1" applyAlignment="1">
      <alignment horizontal="center" vertical="center"/>
    </xf>
    <xf numFmtId="0" fontId="1" fillId="0" borderId="0" xfId="1" applyAlignment="1">
      <alignment horizontal="right" vertical="center"/>
    </xf>
    <xf numFmtId="9" fontId="1" fillId="0" borderId="0" xfId="3" applyAlignment="1">
      <alignment horizontal="center" vertical="center"/>
    </xf>
  </cellXfs>
  <cellStyles count="4">
    <cellStyle name="百分比" xfId="3" builtinId="5"/>
    <cellStyle name="常规" xfId="0" builtinId="0"/>
    <cellStyle name="常规 6" xfId="1" xr:uid="{655F6FDC-936D-42A5-A7F3-8B0BF69ECC22}"/>
    <cellStyle name="千位分隔 6" xfId="2" xr:uid="{9466B2A0-24CC-4159-830C-5F1F135E6E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021F4-B125-4B50-883B-025E82D023CC}">
  <dimension ref="A1:G51"/>
  <sheetViews>
    <sheetView tabSelected="1" zoomScale="115" zoomScaleNormal="115" workbookViewId="0">
      <pane ySplit="1" topLeftCell="A2" activePane="bottomLeft" state="frozen"/>
      <selection pane="bottomLeft" activeCell="E43" sqref="E43"/>
    </sheetView>
  </sheetViews>
  <sheetFormatPr defaultColWidth="9.125" defaultRowHeight="14.25" x14ac:dyDescent="0.2"/>
  <cols>
    <col min="1" max="1" width="15.75" style="13" customWidth="1"/>
    <col min="2" max="2" width="11.875" style="14" customWidth="1"/>
    <col min="3" max="3" width="13.875" style="14" customWidth="1"/>
    <col min="4" max="4" width="10.75" style="14" bestFit="1" customWidth="1"/>
    <col min="5" max="5" width="22.125" style="4" bestFit="1" customWidth="1"/>
    <col min="6" max="16384" width="9.125" style="8"/>
  </cols>
  <sheetData>
    <row r="1" spans="1:6" s="4" customFormat="1" x14ac:dyDescent="0.2">
      <c r="A1" s="1" t="s">
        <v>0</v>
      </c>
      <c r="B1" s="2" t="s">
        <v>1</v>
      </c>
      <c r="C1" s="2" t="s">
        <v>2</v>
      </c>
      <c r="D1" s="2" t="s">
        <v>3</v>
      </c>
      <c r="E1" s="3" t="s">
        <v>57</v>
      </c>
      <c r="F1" s="4" t="s">
        <v>63</v>
      </c>
    </row>
    <row r="2" spans="1:6" x14ac:dyDescent="0.2">
      <c r="A2" s="5" t="s">
        <v>40</v>
      </c>
      <c r="B2" s="6">
        <v>500</v>
      </c>
      <c r="C2" s="6">
        <v>500</v>
      </c>
      <c r="D2" s="6">
        <v>0</v>
      </c>
      <c r="E2" s="7" t="s">
        <v>60</v>
      </c>
      <c r="F2" s="15"/>
    </row>
    <row r="3" spans="1:6" x14ac:dyDescent="0.2">
      <c r="A3" s="5" t="s">
        <v>39</v>
      </c>
      <c r="B3" s="9">
        <v>0</v>
      </c>
      <c r="C3" s="9">
        <v>0</v>
      </c>
      <c r="D3" s="9">
        <v>0</v>
      </c>
      <c r="E3" s="7">
        <v>6</v>
      </c>
      <c r="F3" s="15"/>
    </row>
    <row r="4" spans="1:6" x14ac:dyDescent="0.2">
      <c r="A4" s="10" t="s">
        <v>38</v>
      </c>
      <c r="B4" s="6">
        <v>1000</v>
      </c>
      <c r="C4" s="6">
        <v>1000</v>
      </c>
      <c r="D4" s="6">
        <v>5000</v>
      </c>
      <c r="E4" s="12">
        <v>0.4</v>
      </c>
      <c r="F4" s="15">
        <v>0.4</v>
      </c>
    </row>
    <row r="5" spans="1:6" x14ac:dyDescent="0.2">
      <c r="A5" s="5" t="s">
        <v>36</v>
      </c>
      <c r="B5" s="6">
        <v>0</v>
      </c>
      <c r="C5" s="6">
        <v>0</v>
      </c>
      <c r="D5" s="6">
        <v>0</v>
      </c>
      <c r="E5" s="7">
        <v>7</v>
      </c>
      <c r="F5" s="15"/>
    </row>
    <row r="6" spans="1:6" x14ac:dyDescent="0.2">
      <c r="A6" s="10" t="s">
        <v>35</v>
      </c>
      <c r="B6" s="6">
        <v>3000</v>
      </c>
      <c r="C6" s="6">
        <v>3000</v>
      </c>
      <c r="D6" s="6">
        <v>5000</v>
      </c>
      <c r="E6" s="12">
        <v>0.4</v>
      </c>
      <c r="F6" s="15">
        <v>0.4</v>
      </c>
    </row>
    <row r="7" spans="1:6" x14ac:dyDescent="0.2">
      <c r="A7" s="10" t="s">
        <v>34</v>
      </c>
      <c r="B7" s="6">
        <v>1000</v>
      </c>
      <c r="C7" s="6">
        <v>1000</v>
      </c>
      <c r="D7" s="6">
        <v>3000</v>
      </c>
      <c r="E7" s="12">
        <v>0.4</v>
      </c>
      <c r="F7" s="15">
        <v>0.4</v>
      </c>
    </row>
    <row r="8" spans="1:6" x14ac:dyDescent="0.2">
      <c r="A8" s="10" t="s">
        <v>33</v>
      </c>
      <c r="B8" s="6">
        <v>100</v>
      </c>
      <c r="C8" s="6">
        <v>100</v>
      </c>
      <c r="D8" s="6">
        <v>100</v>
      </c>
      <c r="E8" s="7"/>
      <c r="F8" s="15"/>
    </row>
    <row r="9" spans="1:6" x14ac:dyDescent="0.2">
      <c r="A9" s="10" t="s">
        <v>32</v>
      </c>
      <c r="B9" s="6">
        <v>0</v>
      </c>
      <c r="C9" s="6" t="s">
        <v>8</v>
      </c>
      <c r="D9" s="6">
        <v>0</v>
      </c>
      <c r="E9" s="7">
        <v>9</v>
      </c>
      <c r="F9" s="15"/>
    </row>
    <row r="10" spans="1:6" x14ac:dyDescent="0.2">
      <c r="A10" s="5" t="s">
        <v>58</v>
      </c>
      <c r="B10" s="6">
        <v>1000</v>
      </c>
      <c r="C10" s="6">
        <v>1000</v>
      </c>
      <c r="D10" s="6">
        <v>3000</v>
      </c>
      <c r="E10" s="7"/>
      <c r="F10" s="15"/>
    </row>
    <row r="11" spans="1:6" x14ac:dyDescent="0.2">
      <c r="A11" s="5" t="s">
        <v>31</v>
      </c>
      <c r="B11" s="6"/>
      <c r="C11" s="6" t="s">
        <v>8</v>
      </c>
      <c r="D11" s="6">
        <v>0</v>
      </c>
      <c r="E11" s="7">
        <v>9</v>
      </c>
      <c r="F11" s="15"/>
    </row>
    <row r="12" spans="1:6" x14ac:dyDescent="0.2">
      <c r="A12" s="10" t="s">
        <v>27</v>
      </c>
      <c r="B12" s="6">
        <v>2000</v>
      </c>
      <c r="C12" s="6">
        <v>2000</v>
      </c>
      <c r="D12" s="6">
        <v>3000</v>
      </c>
      <c r="E12" s="12">
        <v>0.4</v>
      </c>
      <c r="F12" s="15">
        <v>0.4</v>
      </c>
    </row>
    <row r="13" spans="1:6" x14ac:dyDescent="0.2">
      <c r="A13" s="5" t="s">
        <v>18</v>
      </c>
      <c r="B13" s="6"/>
      <c r="C13" s="6"/>
      <c r="D13" s="6">
        <v>0</v>
      </c>
      <c r="E13" s="7">
        <v>4</v>
      </c>
      <c r="F13" s="15"/>
    </row>
    <row r="14" spans="1:6" x14ac:dyDescent="0.2">
      <c r="A14" s="10" t="s">
        <v>56</v>
      </c>
      <c r="B14" s="6"/>
      <c r="C14" s="6"/>
      <c r="D14" s="6">
        <v>0</v>
      </c>
      <c r="E14" s="7">
        <v>9</v>
      </c>
      <c r="F14" s="15"/>
    </row>
    <row r="15" spans="1:6" x14ac:dyDescent="0.2">
      <c r="A15" s="10" t="s">
        <v>55</v>
      </c>
      <c r="B15" s="6"/>
      <c r="C15" s="6"/>
      <c r="D15" s="6">
        <v>0</v>
      </c>
      <c r="E15" s="7">
        <v>9</v>
      </c>
      <c r="F15" s="15"/>
    </row>
    <row r="16" spans="1:6" x14ac:dyDescent="0.2">
      <c r="A16" s="10" t="s">
        <v>54</v>
      </c>
      <c r="B16" s="6"/>
      <c r="C16" s="6"/>
      <c r="D16" s="6">
        <v>0</v>
      </c>
      <c r="E16" s="7">
        <v>9</v>
      </c>
      <c r="F16" s="15"/>
    </row>
    <row r="17" spans="1:7" x14ac:dyDescent="0.2">
      <c r="A17" s="10" t="s">
        <v>53</v>
      </c>
      <c r="B17" s="6">
        <v>1000</v>
      </c>
      <c r="C17" s="6">
        <v>1000</v>
      </c>
      <c r="D17" s="6">
        <v>3000</v>
      </c>
      <c r="E17" s="7">
        <v>3</v>
      </c>
      <c r="F17" s="15"/>
    </row>
    <row r="18" spans="1:7" x14ac:dyDescent="0.2">
      <c r="A18" s="10" t="s">
        <v>52</v>
      </c>
      <c r="B18" s="6">
        <v>1500</v>
      </c>
      <c r="C18" s="6">
        <v>1500</v>
      </c>
      <c r="D18" s="6">
        <v>3000</v>
      </c>
      <c r="E18" s="12">
        <v>0.4</v>
      </c>
      <c r="F18" s="15">
        <v>0.4</v>
      </c>
    </row>
    <row r="19" spans="1:7" x14ac:dyDescent="0.2">
      <c r="A19" s="5" t="s">
        <v>51</v>
      </c>
      <c r="B19" s="6">
        <v>0</v>
      </c>
      <c r="C19" s="6">
        <v>0</v>
      </c>
      <c r="D19" s="6">
        <v>0</v>
      </c>
      <c r="E19" s="7">
        <v>5</v>
      </c>
      <c r="F19" s="15"/>
    </row>
    <row r="20" spans="1:7" x14ac:dyDescent="0.2">
      <c r="A20" s="10" t="s">
        <v>50</v>
      </c>
      <c r="B20" s="6">
        <v>5000</v>
      </c>
      <c r="C20" s="6">
        <v>5000</v>
      </c>
      <c r="D20" s="6">
        <v>4000</v>
      </c>
      <c r="E20" s="12">
        <v>0.6</v>
      </c>
      <c r="F20" s="15">
        <v>0.6</v>
      </c>
    </row>
    <row r="21" spans="1:7" x14ac:dyDescent="0.2">
      <c r="A21" s="10" t="s">
        <v>49</v>
      </c>
      <c r="B21" s="11"/>
      <c r="C21" s="11"/>
      <c r="D21" s="6">
        <v>0</v>
      </c>
      <c r="E21" s="7">
        <v>9</v>
      </c>
      <c r="F21" s="15"/>
    </row>
    <row r="22" spans="1:7" x14ac:dyDescent="0.2">
      <c r="A22" s="10" t="s">
        <v>48</v>
      </c>
      <c r="B22" s="6">
        <v>2000</v>
      </c>
      <c r="C22" s="6">
        <v>2000</v>
      </c>
      <c r="D22" s="6">
        <v>10000</v>
      </c>
      <c r="E22" s="12">
        <v>0.4</v>
      </c>
      <c r="F22" s="15">
        <v>1</v>
      </c>
    </row>
    <row r="23" spans="1:7" x14ac:dyDescent="0.2">
      <c r="A23" s="10" t="s">
        <v>47</v>
      </c>
      <c r="B23" s="6"/>
      <c r="C23" s="6"/>
      <c r="D23" s="6">
        <v>0</v>
      </c>
      <c r="E23" s="7">
        <v>6</v>
      </c>
      <c r="F23" s="15"/>
    </row>
    <row r="24" spans="1:7" x14ac:dyDescent="0.2">
      <c r="A24" s="10" t="s">
        <v>46</v>
      </c>
      <c r="B24" s="6">
        <v>4000</v>
      </c>
      <c r="C24" s="6">
        <v>4000</v>
      </c>
      <c r="D24" s="6">
        <v>16000</v>
      </c>
      <c r="E24" s="12">
        <v>0.6</v>
      </c>
      <c r="F24" s="15">
        <v>0.6</v>
      </c>
      <c r="G24" s="8">
        <f>18*0.9</f>
        <v>16.2</v>
      </c>
    </row>
    <row r="25" spans="1:7" x14ac:dyDescent="0.2">
      <c r="A25" s="10" t="s">
        <v>45</v>
      </c>
      <c r="B25" s="6">
        <v>600</v>
      </c>
      <c r="C25" s="6">
        <v>600</v>
      </c>
      <c r="D25" s="6">
        <v>1500</v>
      </c>
      <c r="E25" s="7"/>
      <c r="F25" s="15"/>
    </row>
    <row r="26" spans="1:7" x14ac:dyDescent="0.2">
      <c r="A26" s="10" t="s">
        <v>44</v>
      </c>
      <c r="B26" s="6"/>
      <c r="C26" s="6"/>
      <c r="D26" s="6">
        <v>0</v>
      </c>
      <c r="E26" s="7">
        <v>9</v>
      </c>
      <c r="F26" s="15"/>
    </row>
    <row r="27" spans="1:7" x14ac:dyDescent="0.2">
      <c r="A27" s="10" t="s">
        <v>43</v>
      </c>
      <c r="B27" s="6">
        <v>3000</v>
      </c>
      <c r="C27" s="6">
        <v>3000</v>
      </c>
      <c r="D27" s="6">
        <v>10000</v>
      </c>
      <c r="E27" s="12">
        <v>0.2</v>
      </c>
      <c r="F27" s="15">
        <v>0.2</v>
      </c>
      <c r="G27" s="8">
        <f>23.4*E27</f>
        <v>4.68</v>
      </c>
    </row>
    <row r="28" spans="1:7" x14ac:dyDescent="0.2">
      <c r="A28" s="10" t="s">
        <v>42</v>
      </c>
      <c r="B28" s="6">
        <v>5000</v>
      </c>
      <c r="C28" s="6">
        <v>5000</v>
      </c>
      <c r="D28" s="6">
        <v>30000</v>
      </c>
      <c r="E28" s="12">
        <v>0.7</v>
      </c>
      <c r="F28" s="15">
        <v>0.7</v>
      </c>
      <c r="G28" s="8">
        <f>25*E28</f>
        <v>17.5</v>
      </c>
    </row>
    <row r="29" spans="1:7" x14ac:dyDescent="0.2">
      <c r="A29" s="10" t="s">
        <v>41</v>
      </c>
      <c r="B29" s="6"/>
      <c r="C29" s="6"/>
      <c r="D29" s="6">
        <v>0</v>
      </c>
      <c r="E29" s="7">
        <v>9</v>
      </c>
      <c r="F29" s="15"/>
    </row>
    <row r="30" spans="1:7" x14ac:dyDescent="0.2">
      <c r="A30" s="10" t="s">
        <v>37</v>
      </c>
      <c r="B30" s="6"/>
      <c r="C30" s="6"/>
      <c r="D30" s="6">
        <v>0</v>
      </c>
      <c r="E30" s="7">
        <v>9</v>
      </c>
      <c r="F30" s="15"/>
    </row>
    <row r="31" spans="1:7" x14ac:dyDescent="0.2">
      <c r="A31" s="10" t="s">
        <v>30</v>
      </c>
      <c r="B31" s="6"/>
      <c r="C31" s="6"/>
      <c r="D31" s="6">
        <v>0</v>
      </c>
      <c r="E31" s="7">
        <v>9</v>
      </c>
      <c r="F31" s="15"/>
    </row>
    <row r="32" spans="1:7" x14ac:dyDescent="0.2">
      <c r="A32" s="10" t="s">
        <v>29</v>
      </c>
      <c r="B32" s="6"/>
      <c r="C32" s="6"/>
      <c r="D32" s="6">
        <v>0</v>
      </c>
      <c r="E32" s="7">
        <v>9</v>
      </c>
      <c r="F32" s="15"/>
    </row>
    <row r="33" spans="1:6" x14ac:dyDescent="0.2">
      <c r="A33" s="10" t="s">
        <v>28</v>
      </c>
      <c r="B33" s="6"/>
      <c r="C33" s="6"/>
      <c r="D33" s="6">
        <v>0</v>
      </c>
      <c r="E33" s="7">
        <v>9</v>
      </c>
      <c r="F33" s="15"/>
    </row>
    <row r="34" spans="1:6" x14ac:dyDescent="0.2">
      <c r="A34" s="10" t="s">
        <v>26</v>
      </c>
      <c r="B34" s="6">
        <v>0</v>
      </c>
      <c r="C34" s="6">
        <v>0</v>
      </c>
      <c r="D34" s="6">
        <v>0</v>
      </c>
      <c r="E34" s="7" t="s">
        <v>66</v>
      </c>
      <c r="F34" s="15"/>
    </row>
    <row r="35" spans="1:6" x14ac:dyDescent="0.2">
      <c r="A35" s="10" t="s">
        <v>25</v>
      </c>
      <c r="B35" s="6"/>
      <c r="C35" s="6"/>
      <c r="D35" s="6">
        <v>0</v>
      </c>
      <c r="E35" s="7">
        <v>9</v>
      </c>
      <c r="F35" s="15"/>
    </row>
    <row r="36" spans="1:6" x14ac:dyDescent="0.2">
      <c r="A36" s="10" t="s">
        <v>24</v>
      </c>
      <c r="B36" s="6" t="s">
        <v>5</v>
      </c>
      <c r="C36" s="6" t="s">
        <v>7</v>
      </c>
      <c r="D36" s="6">
        <v>0</v>
      </c>
      <c r="E36" s="7">
        <v>9</v>
      </c>
      <c r="F36" s="15"/>
    </row>
    <row r="37" spans="1:6" x14ac:dyDescent="0.2">
      <c r="A37" s="10" t="s">
        <v>23</v>
      </c>
      <c r="B37" s="6">
        <v>0</v>
      </c>
      <c r="C37" s="6">
        <v>0</v>
      </c>
      <c r="D37" s="6">
        <v>0</v>
      </c>
      <c r="E37" s="7" t="s">
        <v>64</v>
      </c>
      <c r="F37" s="15"/>
    </row>
    <row r="38" spans="1:6" x14ac:dyDescent="0.2">
      <c r="A38" s="5" t="s">
        <v>22</v>
      </c>
      <c r="B38" s="6"/>
      <c r="C38" s="6"/>
      <c r="D38" s="6">
        <v>0</v>
      </c>
      <c r="E38" s="7">
        <v>9</v>
      </c>
      <c r="F38" s="15"/>
    </row>
    <row r="39" spans="1:6" x14ac:dyDescent="0.2">
      <c r="A39" s="5" t="s">
        <v>21</v>
      </c>
      <c r="B39" s="6">
        <v>100</v>
      </c>
      <c r="C39" s="6">
        <v>100</v>
      </c>
      <c r="D39" s="6">
        <v>1500</v>
      </c>
      <c r="E39" s="7" t="s">
        <v>68</v>
      </c>
      <c r="F39" s="15"/>
    </row>
    <row r="40" spans="1:6" x14ac:dyDescent="0.2">
      <c r="A40" s="10" t="s">
        <v>20</v>
      </c>
      <c r="B40" s="6">
        <v>0</v>
      </c>
      <c r="C40" s="6">
        <v>0</v>
      </c>
      <c r="D40" s="6">
        <v>0</v>
      </c>
      <c r="E40" s="7" t="s">
        <v>62</v>
      </c>
      <c r="F40" s="15"/>
    </row>
    <row r="41" spans="1:6" x14ac:dyDescent="0.2">
      <c r="A41" s="10" t="s">
        <v>19</v>
      </c>
      <c r="B41" s="6"/>
      <c r="C41" s="6"/>
      <c r="D41" s="6">
        <v>0</v>
      </c>
      <c r="E41" s="7">
        <v>9</v>
      </c>
      <c r="F41" s="15"/>
    </row>
    <row r="42" spans="1:6" x14ac:dyDescent="0.2">
      <c r="A42" s="10" t="s">
        <v>17</v>
      </c>
      <c r="B42" s="6"/>
      <c r="C42" s="6"/>
      <c r="D42" s="6">
        <v>0</v>
      </c>
      <c r="E42" s="7">
        <v>9</v>
      </c>
      <c r="F42" s="15"/>
    </row>
    <row r="43" spans="1:6" x14ac:dyDescent="0.2">
      <c r="A43" s="10" t="s">
        <v>16</v>
      </c>
      <c r="B43" s="6" t="s">
        <v>5</v>
      </c>
      <c r="C43" s="6" t="s">
        <v>7</v>
      </c>
      <c r="D43" s="6">
        <v>0</v>
      </c>
      <c r="E43" s="7">
        <v>9</v>
      </c>
      <c r="F43" s="15"/>
    </row>
    <row r="44" spans="1:6" x14ac:dyDescent="0.2">
      <c r="A44" s="10" t="s">
        <v>15</v>
      </c>
      <c r="B44" s="6">
        <v>0</v>
      </c>
      <c r="C44" s="6">
        <v>0</v>
      </c>
      <c r="D44" s="6">
        <v>0</v>
      </c>
      <c r="E44" s="7" t="s">
        <v>67</v>
      </c>
      <c r="F44" s="15"/>
    </row>
    <row r="45" spans="1:6" x14ac:dyDescent="0.2">
      <c r="A45" s="10" t="s">
        <v>14</v>
      </c>
      <c r="B45" s="6">
        <v>300</v>
      </c>
      <c r="C45" s="6">
        <v>300</v>
      </c>
      <c r="D45" s="6">
        <v>1000</v>
      </c>
      <c r="E45" s="7" t="s">
        <v>65</v>
      </c>
      <c r="F45" s="15">
        <v>0.3</v>
      </c>
    </row>
    <row r="46" spans="1:6" x14ac:dyDescent="0.2">
      <c r="A46" s="10" t="s">
        <v>13</v>
      </c>
      <c r="B46" s="6">
        <v>100</v>
      </c>
      <c r="C46" s="6">
        <v>100</v>
      </c>
      <c r="D46" s="6">
        <v>500</v>
      </c>
      <c r="E46" s="7" t="s">
        <v>59</v>
      </c>
      <c r="F46" s="15"/>
    </row>
    <row r="47" spans="1:6" x14ac:dyDescent="0.2">
      <c r="A47" s="10" t="s">
        <v>12</v>
      </c>
      <c r="B47" s="6" t="s">
        <v>5</v>
      </c>
      <c r="C47" s="6" t="s">
        <v>6</v>
      </c>
      <c r="D47" s="6">
        <v>0</v>
      </c>
      <c r="E47" s="7">
        <v>9</v>
      </c>
      <c r="F47" s="15"/>
    </row>
    <row r="48" spans="1:6" x14ac:dyDescent="0.2">
      <c r="A48" s="10" t="s">
        <v>11</v>
      </c>
      <c r="B48" s="6" t="s">
        <v>4</v>
      </c>
      <c r="C48" s="6" t="s">
        <v>4</v>
      </c>
      <c r="D48" s="6">
        <v>0</v>
      </c>
      <c r="E48" s="7">
        <v>9</v>
      </c>
      <c r="F48" s="15"/>
    </row>
    <row r="49" spans="1:6" x14ac:dyDescent="0.2">
      <c r="A49" s="10" t="s">
        <v>10</v>
      </c>
      <c r="B49" s="6" t="s">
        <v>5</v>
      </c>
      <c r="C49" s="6" t="s">
        <v>6</v>
      </c>
      <c r="D49" s="6">
        <v>0</v>
      </c>
      <c r="E49" s="7" t="s">
        <v>61</v>
      </c>
      <c r="F49" s="15"/>
    </row>
    <row r="50" spans="1:6" x14ac:dyDescent="0.2">
      <c r="A50" s="10" t="s">
        <v>9</v>
      </c>
      <c r="B50" s="6"/>
      <c r="C50" s="6"/>
      <c r="D50" s="6">
        <v>0</v>
      </c>
      <c r="E50" s="7">
        <v>9</v>
      </c>
      <c r="F50" s="15"/>
    </row>
    <row r="51" spans="1:6" x14ac:dyDescent="0.2">
      <c r="A51" s="10"/>
      <c r="B51" s="6"/>
      <c r="C51" s="6"/>
      <c r="D51" s="6">
        <v>0</v>
      </c>
      <c r="E51" s="7"/>
      <c r="F51" s="15"/>
    </row>
  </sheetData>
  <autoFilter ref="A1:E1" xr:uid="{B64B7257-7777-44DA-82FC-2A7918955D58}">
    <sortState xmlns:xlrd2="http://schemas.microsoft.com/office/spreadsheetml/2017/richdata2" ref="A2:E51">
      <sortCondition descending="1" ref="A1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ishell@aliyun.com</dc:creator>
  <cp:lastModifiedBy>ishell@aliyun.com</cp:lastModifiedBy>
  <dcterms:created xsi:type="dcterms:W3CDTF">2025-03-14T12:41:51Z</dcterms:created>
  <dcterms:modified xsi:type="dcterms:W3CDTF">2026-03-04T13:18:59Z</dcterms:modified>
</cp:coreProperties>
</file>